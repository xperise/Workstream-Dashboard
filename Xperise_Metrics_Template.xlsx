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ướng dẫn" sheetId="1" state="visible" r:id="rId3"/>
    <sheet name="Actual" sheetId="2" state="visible" r:id="rId4"/>
    <sheet name="Target" sheetId="3" state="visible" r:id="rId5"/>
    <sheet name="Kiểm tra" sheetId="4" state="visible" r:id="rId6"/>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A5" authorId="0">
      <text>
        <r>
          <rPr>
            <sz val="10"/>
            <rFont val="Arial"/>
            <family val="2"/>
          </rPr>
          <t xml:space="preserve">Dòng 5 là tên cột hệ thống đọc. Không sửa, không xóa dòng này.</t>
        </r>
      </text>
    </comment>
  </commentList>
</comments>
</file>

<file path=xl/sharedStrings.xml><?xml version="1.0" encoding="utf-8"?>
<sst xmlns="http://schemas.openxmlformats.org/spreadsheetml/2006/main" count="110" uniqueCount="90">
  <si>
    <t xml:space="preserve">XPERISE METRICS — FILE NHẬP DỮ LIỆU</t>
  </si>
  <si>
    <t xml:space="preserve">Dùng để tải số liệu lên dashboard. Không đổi tên sheet và không đổi tên cột.</t>
  </si>
  <si>
    <t xml:space="preserve">CÁCH DÙNG</t>
  </si>
  <si>
    <t xml:space="preserve">Điền số vào sheet 'Actual' (số thực tế) và sheet 'Target' (số kế hoạch). Mỗi tháng một dòng. Điền xong thì vào dashboard, tab Dữ liệu, tải file này lên. Hệ thống sẽ hiện bảng kiểm tra trước, xem xong mới bấm ghi.</t>
  </si>
  <si>
    <t xml:space="preserve">ĐƠN VỊ TIỀN</t>
  </si>
  <si>
    <t xml:space="preserve">Tất cả các cột doanh thu ghi bằng VND NGUYÊN, không ghi tỷ và không ghi triệu. Ví dụ: 5.96 tỷ thì điền 5960000000. Không dùng dấu phẩy, không dùng chữ 'tỷ'.</t>
  </si>
  <si>
    <t xml:space="preserve">CỘT period</t>
  </si>
  <si>
    <t xml:space="preserve">Ghi dạng 2026-06. Các dạng khác cũng đọc được: Jun-26, 06/2026. Mỗi tháng chỉ một dòng, không được lặp.</t>
  </si>
  <si>
    <t xml:space="preserve">CỘT is_forecast</t>
  </si>
  <si>
    <t xml:space="preserve">Để trống nếu là số thực tế đã chốt. Ghi 1 nếu là số dự phóng. Số dự phóng sẽ hiển thị nghiêng trên dashboard.</t>
  </si>
  <si>
    <t xml:space="preserve">Ô MÀU VÀNG</t>
  </si>
  <si>
    <t xml:space="preserve">Là dòng ví dụ mẫu, cho thấy đúng định dạng cần điền. XÓA DÒNG NÀY trước khi tải lên, nếu không tháng đó sẽ bị ghi đè bằng số ví dụ.</t>
  </si>
  <si>
    <t xml:space="preserve">GHI ĐÈ</t>
  </si>
  <si>
    <t xml:space="preserve">Tải lại cùng một tháng sẽ ghi đè số cũ của tháng đó. Các tháng khác không bị ảnh hưởng. Có thể tải một tháng hoặc cả 12 tháng đều được.</t>
  </si>
  <si>
    <t xml:space="preserve">KIỂM TRA TRƯỚC KHI TẢI</t>
  </si>
  <si>
    <t xml:space="preserve">Xem sheet 'Kiểm tra'. Cột 'Chênh lệch' phải bằng 0 ở mọi tháng có số liệu. Nếu khác 0 nghĩa là tổng doanh thu các dòng không khớp với số bạn dự kiến.</t>
  </si>
  <si>
    <t xml:space="preserve">BỐN CHỈ SỐ THEO DÕI</t>
  </si>
  <si>
    <t xml:space="preserve">Doanh thu</t>
  </si>
  <si>
    <t xml:space="preserve">Tổng 6 dòng doanh thu ở sheet Actual. Kế hoạch ở cột target_revenue.</t>
  </si>
  <si>
    <t xml:space="preserve">Khách hàng</t>
  </si>
  <si>
    <t xml:space="preserve">total_customers = tổng khách. active_customers = có phát sinh giao dịch trong tháng.</t>
  </si>
  <si>
    <t xml:space="preserve">Người dùng nền tảng</t>
  </si>
  <si>
    <t xml:space="preserve">total_users = tài khoản đã tạo, thuộc phạm vi hợp đồng đã ký.</t>
  </si>
  <si>
    <t xml:space="preserve">Người dùng hoạt động</t>
  </si>
  <si>
    <t xml:space="preserve">active_users = có phát sinh giao dịch trên nền tảng trong tháng.</t>
  </si>
  <si>
    <t xml:space="preserve">QUY ƯỚC MÀU</t>
  </si>
  <si>
    <t xml:space="preserve">Chữ xanh dương = ô cần điền tay.  Chữ đen = công thức, đừng sửa.  Nền vàng = dòng ví dụ, xóa trước khi dùng.</t>
  </si>
  <si>
    <t xml:space="preserve">SỐ LIỆU THỰC TẾ</t>
  </si>
  <si>
    <t xml:space="preserve">Doanh thu ghi bằng VND nguyên. Mỗi tháng một dòng. Dòng vàng là ví dụ — xóa trước khi tải lên.</t>
  </si>
  <si>
    <t xml:space="preserve">Kỳ báo cáo</t>
  </si>
  <si>
    <t xml:space="preserve">Travel &amp; accommodation</t>
  </si>
  <si>
    <t xml:space="preserve">Mobility</t>
  </si>
  <si>
    <t xml:space="preserve">Other spend categories</t>
  </si>
  <si>
    <t xml:space="preserve">Platform subscription</t>
  </si>
  <si>
    <t xml:space="preserve">Annual licence</t>
  </si>
  <si>
    <t xml:space="preserve">One-off implementation</t>
  </si>
  <si>
    <t xml:space="preserve">Tổng khách hàng</t>
  </si>
  <si>
    <t xml:space="preserve">Khách hàng hoạt động</t>
  </si>
  <si>
    <t xml:space="preserve">Tổng người dùng</t>
  </si>
  <si>
    <t xml:space="preserve">Dự phóng? (1/trống)</t>
  </si>
  <si>
    <t xml:space="preserve">period</t>
  </si>
  <si>
    <t xml:space="preserve">rev_travel</t>
  </si>
  <si>
    <t xml:space="preserve">rev_mobility</t>
  </si>
  <si>
    <t xml:space="preserve">rev_other</t>
  </si>
  <si>
    <t xml:space="preserve">rev_subscription</t>
  </si>
  <si>
    <t xml:space="preserve">rev_licence</t>
  </si>
  <si>
    <t xml:space="preserve">rev_oneoff</t>
  </si>
  <si>
    <t xml:space="preserve">total_customers</t>
  </si>
  <si>
    <t xml:space="preserve">active_customers</t>
  </si>
  <si>
    <t xml:space="preserve">total_users</t>
  </si>
  <si>
    <t xml:space="preserve">active_users</t>
  </si>
  <si>
    <t xml:space="preserve">is_forecast</t>
  </si>
  <si>
    <t xml:space="preserve">2026-06</t>
  </si>
  <si>
    <t xml:space="preserve">2026-01</t>
  </si>
  <si>
    <t xml:space="preserve">2026-02</t>
  </si>
  <si>
    <t xml:space="preserve">2026-03</t>
  </si>
  <si>
    <t xml:space="preserve">2026-04</t>
  </si>
  <si>
    <t xml:space="preserve">2026-05</t>
  </si>
  <si>
    <t xml:space="preserve">2026-07</t>
  </si>
  <si>
    <t xml:space="preserve">2026-08</t>
  </si>
  <si>
    <t xml:space="preserve">2026-09</t>
  </si>
  <si>
    <t xml:space="preserve">2026-10</t>
  </si>
  <si>
    <t xml:space="preserve">2026-11</t>
  </si>
  <si>
    <t xml:space="preserve">2026-12</t>
  </si>
  <si>
    <t xml:space="preserve">TỔNG</t>
  </si>
  <si>
    <t xml:space="preserve">Lưu ý: xóa dòng ví dụ (nền vàng) trước khi tải lên, nếu không tháng 2026-06 sẽ bị ghi đè bằng số ví dụ.</t>
  </si>
  <si>
    <t xml:space="preserve">Lưu ý: dòng TỔNG chỉ để bạn tự đối chiếu, hệ thống không đọc dòng này.</t>
  </si>
  <si>
    <t xml:space="preserve">SỐ LIỆU KẾ HOẠCH</t>
  </si>
  <si>
    <t xml:space="preserve">Bỏ trống tháng nào chưa có kế hoạch. Doanh thu ghi bằng VND nguyên.</t>
  </si>
  <si>
    <t xml:space="preserve">Doanh thu kế hoạch (VND)</t>
  </si>
  <si>
    <t xml:space="preserve">Khách hàng kế hoạch</t>
  </si>
  <si>
    <t xml:space="preserve">Người dùng kế hoạch</t>
  </si>
  <si>
    <t xml:space="preserve">Người dùng hoạt động kế hoạch</t>
  </si>
  <si>
    <t xml:space="preserve">target_revenue</t>
  </si>
  <si>
    <t xml:space="preserve">target_customers</t>
  </si>
  <si>
    <t xml:space="preserve">target_users</t>
  </si>
  <si>
    <t xml:space="preserve">target_active_users</t>
  </si>
  <si>
    <t xml:space="preserve">ĐỐI CHIẾU TRƯỚC KHI TẢI LÊN</t>
  </si>
  <si>
    <t xml:space="preserve">Bảng này tự tính từ sheet Actual và Target. Không cần điền gì ở đây.</t>
  </si>
  <si>
    <t xml:space="preserve">Kỳ</t>
  </si>
  <si>
    <t xml:space="preserve">Tổng doanh thu (VND)</t>
  </si>
  <si>
    <t xml:space="preserve">Quy ra tỷ VND</t>
  </si>
  <si>
    <t xml:space="preserve">Kế hoạch (tỷ)</t>
  </si>
  <si>
    <t xml:space="preserve">% đạt</t>
  </si>
  <si>
    <t xml:space="preserve">% KH hoạt động</t>
  </si>
  <si>
    <t xml:space="preserve">Người dùng</t>
  </si>
  <si>
    <t xml:space="preserve">% ND hoạt động</t>
  </si>
  <si>
    <t xml:space="preserve">Doanh thu / khách (tr)</t>
  </si>
  <si>
    <t xml:space="preserve">Cột 'Quy ra tỷ VND' để đối chiếu nhanh với báo cáo gửi investor. Nếu lệch, kiểm tra lại các cột doanh thu ở sheet Actual.</t>
  </si>
  <si>
    <t xml:space="preserve">Các ô chữ xanh lá là liên kết sang sheet khác. Ô chữ đen là công thức. Không sửa ở sheet này.</t>
  </si>
</sst>
</file>

<file path=xl/styles.xml><?xml version="1.0" encoding="utf-8"?>
<styleSheet xmlns="http://schemas.openxmlformats.org/spreadsheetml/2006/main">
  <numFmts count="5">
    <numFmt numFmtId="164" formatCode="General"/>
    <numFmt numFmtId="165" formatCode="#,##0;\(#,##0\);\-"/>
    <numFmt numFmtId="166" formatCode="#,##0.000;\(#,##0.000\);\-"/>
    <numFmt numFmtId="167" formatCode="0.0%;\(0.0%\);\-"/>
    <numFmt numFmtId="168" formatCode="#,##0.00;\(#,##0.00\);\-"/>
  </numFmts>
  <fonts count="14">
    <font>
      <sz val="11"/>
      <color theme="1"/>
      <name val="Calibri"/>
      <family val="2"/>
      <charset val="1"/>
    </font>
    <font>
      <sz val="10"/>
      <name val="Arial"/>
      <family val="0"/>
    </font>
    <font>
      <sz val="10"/>
      <name val="Arial"/>
      <family val="0"/>
    </font>
    <font>
      <sz val="10"/>
      <name val="Arial"/>
      <family val="0"/>
    </font>
    <font>
      <b val="true"/>
      <sz val="14"/>
      <color rgb="FF10232F"/>
      <name val="Arial"/>
      <family val="0"/>
      <charset val="1"/>
    </font>
    <font>
      <i val="true"/>
      <sz val="9"/>
      <color rgb="FF595959"/>
      <name val="Arial"/>
      <family val="0"/>
      <charset val="1"/>
    </font>
    <font>
      <b val="true"/>
      <sz val="11"/>
      <color rgb="FF10232F"/>
      <name val="Arial"/>
      <family val="0"/>
      <charset val="1"/>
    </font>
    <font>
      <sz val="10"/>
      <name val="Arial"/>
      <family val="0"/>
      <charset val="1"/>
    </font>
    <font>
      <b val="true"/>
      <sz val="10"/>
      <name val="Arial"/>
      <family val="0"/>
      <charset val="1"/>
    </font>
    <font>
      <b val="true"/>
      <sz val="10"/>
      <color rgb="FFFFFFFF"/>
      <name val="Arial"/>
      <family val="0"/>
      <charset val="1"/>
    </font>
    <font>
      <sz val="10"/>
      <color rgb="FF0000FF"/>
      <name val="Arial"/>
      <family val="0"/>
      <charset val="1"/>
    </font>
    <font>
      <i val="true"/>
      <sz val="9"/>
      <color rgb="FFBE3B32"/>
      <name val="Arial"/>
      <family val="0"/>
      <charset val="1"/>
    </font>
    <font>
      <sz val="10"/>
      <name val="Arial"/>
      <family val="2"/>
    </font>
    <font>
      <sz val="10"/>
      <color rgb="FF008000"/>
      <name val="Arial"/>
      <family val="0"/>
      <charset val="1"/>
    </font>
  </fonts>
  <fills count="6">
    <fill>
      <patternFill patternType="none"/>
    </fill>
    <fill>
      <patternFill patternType="gray125"/>
    </fill>
    <fill>
      <patternFill patternType="solid">
        <fgColor rgb="FF10232F"/>
        <bgColor rgb="FF333333"/>
      </patternFill>
    </fill>
    <fill>
      <patternFill patternType="solid">
        <fgColor rgb="FFF2F2F2"/>
        <bgColor rgb="FFE8F0DE"/>
      </patternFill>
    </fill>
    <fill>
      <patternFill patternType="solid">
        <fgColor rgb="FFFFFF00"/>
        <bgColor rgb="FFFFFF00"/>
      </patternFill>
    </fill>
    <fill>
      <patternFill patternType="solid">
        <fgColor rgb="FFE8F0DE"/>
        <bgColor rgb="FFF2F2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bottom" textRotation="0" wrapText="false" indent="0" shrinkToFit="false"/>
      <protection locked="true" hidden="false"/>
    </xf>
    <xf numFmtId="164" fontId="10" fillId="4" borderId="1" xfId="0" applyFont="true" applyBorder="true" applyAlignment="true" applyProtection="false">
      <alignment horizontal="center" vertical="bottom" textRotation="0" wrapText="false" indent="0" shrinkToFit="false"/>
      <protection locked="true" hidden="false"/>
    </xf>
    <xf numFmtId="165" fontId="10" fillId="4" borderId="1" xfId="0" applyFont="true" applyBorder="true" applyAlignment="true" applyProtection="false">
      <alignment horizontal="right"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4" fontId="8" fillId="5" borderId="0" xfId="0" applyFont="true" applyBorder="false" applyAlignment="false" applyProtection="false">
      <alignment horizontal="general" vertical="bottom" textRotation="0" wrapText="false" indent="0" shrinkToFit="false"/>
      <protection locked="true" hidden="false"/>
    </xf>
    <xf numFmtId="165" fontId="8" fillId="5" borderId="1" xfId="0" applyFont="true" applyBorder="true" applyAlignment="false" applyProtection="false">
      <alignment horizontal="general" vertical="bottom"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center"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6" fontId="8" fillId="5" borderId="1" xfId="0" applyFont="true" applyBorder="true" applyAlignment="false" applyProtection="false">
      <alignment horizontal="general" vertical="bottom" textRotation="0" wrapText="false" indent="0" shrinkToFit="false"/>
      <protection locked="true" hidden="false"/>
    </xf>
    <xf numFmtId="167" fontId="8" fillId="5"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8F0DE"/>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10232F"/>
      <rgbColor rgb="FF333300"/>
      <rgbColor rgb="FFBE3B32"/>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96"/>
  </cols>
  <sheetData>
    <row r="2" customFormat="false" ht="17.35" hidden="false" customHeight="false" outlineLevel="0" collapsed="false">
      <c r="B2" s="1" t="s">
        <v>0</v>
      </c>
    </row>
    <row r="3" customFormat="false" ht="15" hidden="false" customHeight="false" outlineLevel="0" collapsed="false">
      <c r="B3" s="2" t="s">
        <v>1</v>
      </c>
    </row>
    <row r="5" customFormat="false" ht="45" hidden="false" customHeight="true" outlineLevel="0" collapsed="false">
      <c r="B5" s="3" t="s">
        <v>2</v>
      </c>
      <c r="C5" s="4" t="s">
        <v>3</v>
      </c>
    </row>
    <row r="7" customFormat="false" ht="30" hidden="false" customHeight="true" outlineLevel="0" collapsed="false">
      <c r="B7" s="3" t="s">
        <v>4</v>
      </c>
      <c r="C7" s="4" t="s">
        <v>5</v>
      </c>
    </row>
    <row r="9" customFormat="false" ht="30" hidden="false" customHeight="true" outlineLevel="0" collapsed="false">
      <c r="B9" s="3" t="s">
        <v>6</v>
      </c>
      <c r="C9" s="4" t="s">
        <v>7</v>
      </c>
    </row>
    <row r="11" customFormat="false" ht="30" hidden="false" customHeight="true" outlineLevel="0" collapsed="false">
      <c r="B11" s="3" t="s">
        <v>8</v>
      </c>
      <c r="C11" s="4" t="s">
        <v>9</v>
      </c>
    </row>
    <row r="13" customFormat="false" ht="30" hidden="false" customHeight="true" outlineLevel="0" collapsed="false">
      <c r="B13" s="3" t="s">
        <v>10</v>
      </c>
      <c r="C13" s="4" t="s">
        <v>11</v>
      </c>
    </row>
    <row r="15" customFormat="false" ht="30" hidden="false" customHeight="true" outlineLevel="0" collapsed="false">
      <c r="B15" s="3" t="s">
        <v>12</v>
      </c>
      <c r="C15" s="4" t="s">
        <v>13</v>
      </c>
    </row>
    <row r="17" customFormat="false" ht="30" hidden="false" customHeight="true" outlineLevel="0" collapsed="false">
      <c r="B17" s="3" t="s">
        <v>14</v>
      </c>
      <c r="C17" s="4" t="s">
        <v>15</v>
      </c>
    </row>
    <row r="19" customFormat="false" ht="15" hidden="false" customHeight="false" outlineLevel="0" collapsed="false">
      <c r="B19" s="5" t="s">
        <v>16</v>
      </c>
    </row>
    <row r="20" customFormat="false" ht="15" hidden="false" customHeight="false" outlineLevel="0" collapsed="false">
      <c r="B20" s="6" t="s">
        <v>17</v>
      </c>
      <c r="C20" s="7" t="s">
        <v>18</v>
      </c>
    </row>
    <row r="21" customFormat="false" ht="15" hidden="false" customHeight="false" outlineLevel="0" collapsed="false">
      <c r="B21" s="6" t="s">
        <v>19</v>
      </c>
      <c r="C21" s="7" t="s">
        <v>20</v>
      </c>
    </row>
    <row r="22" customFormat="false" ht="15" hidden="false" customHeight="false" outlineLevel="0" collapsed="false">
      <c r="B22" s="6" t="s">
        <v>21</v>
      </c>
      <c r="C22" s="7" t="s">
        <v>22</v>
      </c>
    </row>
    <row r="23" customFormat="false" ht="15" hidden="false" customHeight="false" outlineLevel="0" collapsed="false">
      <c r="B23" s="6" t="s">
        <v>23</v>
      </c>
      <c r="C23" s="7" t="s">
        <v>24</v>
      </c>
    </row>
    <row r="25" customFormat="false" ht="15" hidden="false" customHeight="false" outlineLevel="0" collapsed="false">
      <c r="B25" s="5" t="s">
        <v>25</v>
      </c>
      <c r="C25" s="7" t="s">
        <v>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2"/>
    <col collapsed="false" customWidth="true" hidden="false" outlineLevel="0" max="3" min="3" style="0" width="18"/>
    <col collapsed="false" customWidth="true" hidden="false" outlineLevel="0" max="5" min="4" style="0" width="22"/>
    <col collapsed="false" customWidth="true" hidden="false" outlineLevel="0" max="6" min="6" style="0" width="20"/>
    <col collapsed="false" customWidth="true" hidden="false" outlineLevel="0" max="7" min="7" style="0" width="22"/>
    <col collapsed="false" customWidth="true" hidden="false" outlineLevel="0" max="8" min="8" style="0" width="17"/>
    <col collapsed="false" customWidth="true" hidden="false" outlineLevel="0" max="9" min="9" style="0" width="19"/>
    <col collapsed="false" customWidth="true" hidden="false" outlineLevel="0" max="10" min="10" style="0" width="17"/>
    <col collapsed="false" customWidth="true" hidden="false" outlineLevel="0" max="11" min="11" style="0" width="19"/>
    <col collapsed="false" customWidth="true" hidden="false" outlineLevel="0" max="12" min="12" style="0" width="17"/>
  </cols>
  <sheetData>
    <row r="1" customFormat="false" ht="17.35" hidden="false" customHeight="false" outlineLevel="0" collapsed="false">
      <c r="A1" s="1" t="s">
        <v>27</v>
      </c>
    </row>
    <row r="2" customFormat="false" ht="15" hidden="false" customHeight="false" outlineLevel="0" collapsed="false">
      <c r="A2" s="2" t="s">
        <v>28</v>
      </c>
    </row>
    <row r="4" customFormat="false" ht="30" hidden="false" customHeight="true" outlineLevel="0" collapsed="false">
      <c r="A4" s="8" t="s">
        <v>29</v>
      </c>
      <c r="B4" s="8" t="s">
        <v>30</v>
      </c>
      <c r="C4" s="8" t="s">
        <v>31</v>
      </c>
      <c r="D4" s="8" t="s">
        <v>32</v>
      </c>
      <c r="E4" s="8" t="s">
        <v>33</v>
      </c>
      <c r="F4" s="8" t="s">
        <v>34</v>
      </c>
      <c r="G4" s="8" t="s">
        <v>35</v>
      </c>
      <c r="H4" s="8" t="s">
        <v>36</v>
      </c>
      <c r="I4" s="8" t="s">
        <v>37</v>
      </c>
      <c r="J4" s="8" t="s">
        <v>38</v>
      </c>
      <c r="K4" s="8" t="s">
        <v>23</v>
      </c>
      <c r="L4" s="8" t="s">
        <v>39</v>
      </c>
    </row>
    <row r="5" customFormat="false" ht="15" hidden="false" customHeight="false" outlineLevel="0" collapsed="false">
      <c r="A5" s="9" t="s">
        <v>40</v>
      </c>
      <c r="B5" s="9" t="s">
        <v>41</v>
      </c>
      <c r="C5" s="9" t="s">
        <v>42</v>
      </c>
      <c r="D5" s="9" t="s">
        <v>43</v>
      </c>
      <c r="E5" s="9" t="s">
        <v>44</v>
      </c>
      <c r="F5" s="9" t="s">
        <v>45</v>
      </c>
      <c r="G5" s="9" t="s">
        <v>46</v>
      </c>
      <c r="H5" s="9" t="s">
        <v>47</v>
      </c>
      <c r="I5" s="9" t="s">
        <v>48</v>
      </c>
      <c r="J5" s="9" t="s">
        <v>49</v>
      </c>
      <c r="K5" s="9" t="s">
        <v>50</v>
      </c>
      <c r="L5" s="9" t="s">
        <v>51</v>
      </c>
    </row>
    <row r="6" customFormat="false" ht="15" hidden="false" customHeight="false" outlineLevel="0" collapsed="false">
      <c r="A6" s="10" t="s">
        <v>52</v>
      </c>
      <c r="B6" s="11" t="n">
        <v>5960000000</v>
      </c>
      <c r="C6" s="11" t="n">
        <v>0</v>
      </c>
      <c r="D6" s="11" t="n">
        <v>0</v>
      </c>
      <c r="E6" s="11" t="n">
        <v>0</v>
      </c>
      <c r="F6" s="11" t="n">
        <v>3240000000</v>
      </c>
      <c r="G6" s="11" t="n">
        <v>0</v>
      </c>
      <c r="H6" s="11" t="n">
        <v>650</v>
      </c>
      <c r="I6" s="11" t="n">
        <v>19</v>
      </c>
      <c r="J6" s="11" t="n">
        <v>20400</v>
      </c>
      <c r="K6" s="11" t="n">
        <v>580</v>
      </c>
      <c r="L6" s="10"/>
    </row>
    <row r="7" customFormat="false" ht="15" hidden="false" customHeight="false" outlineLevel="0" collapsed="false">
      <c r="A7" s="12" t="s">
        <v>53</v>
      </c>
      <c r="B7" s="13"/>
      <c r="C7" s="13"/>
      <c r="D7" s="13"/>
      <c r="E7" s="13"/>
      <c r="F7" s="13"/>
      <c r="G7" s="13"/>
      <c r="H7" s="13"/>
      <c r="I7" s="13"/>
      <c r="J7" s="13"/>
      <c r="K7" s="13"/>
      <c r="L7" s="12"/>
    </row>
    <row r="8" customFormat="false" ht="15" hidden="false" customHeight="false" outlineLevel="0" collapsed="false">
      <c r="A8" s="12" t="s">
        <v>54</v>
      </c>
      <c r="B8" s="13"/>
      <c r="C8" s="13"/>
      <c r="D8" s="13"/>
      <c r="E8" s="13"/>
      <c r="F8" s="13"/>
      <c r="G8" s="13"/>
      <c r="H8" s="13"/>
      <c r="I8" s="13"/>
      <c r="J8" s="13"/>
      <c r="K8" s="13"/>
      <c r="L8" s="12"/>
    </row>
    <row r="9" customFormat="false" ht="15" hidden="false" customHeight="false" outlineLevel="0" collapsed="false">
      <c r="A9" s="12" t="s">
        <v>55</v>
      </c>
      <c r="B9" s="13"/>
      <c r="C9" s="13"/>
      <c r="D9" s="13"/>
      <c r="E9" s="13"/>
      <c r="F9" s="13"/>
      <c r="G9" s="13"/>
      <c r="H9" s="13"/>
      <c r="I9" s="13"/>
      <c r="J9" s="13"/>
      <c r="K9" s="13"/>
      <c r="L9" s="12"/>
    </row>
    <row r="10" customFormat="false" ht="15" hidden="false" customHeight="false" outlineLevel="0" collapsed="false">
      <c r="A10" s="12" t="s">
        <v>56</v>
      </c>
      <c r="B10" s="13"/>
      <c r="C10" s="13"/>
      <c r="D10" s="13"/>
      <c r="E10" s="13"/>
      <c r="F10" s="13"/>
      <c r="G10" s="13"/>
      <c r="H10" s="13"/>
      <c r="I10" s="13"/>
      <c r="J10" s="13"/>
      <c r="K10" s="13"/>
      <c r="L10" s="12"/>
    </row>
    <row r="11" customFormat="false" ht="15" hidden="false" customHeight="false" outlineLevel="0" collapsed="false">
      <c r="A11" s="12" t="s">
        <v>57</v>
      </c>
      <c r="B11" s="13"/>
      <c r="C11" s="13"/>
      <c r="D11" s="13"/>
      <c r="E11" s="13"/>
      <c r="F11" s="13"/>
      <c r="G11" s="13"/>
      <c r="H11" s="13"/>
      <c r="I11" s="13"/>
      <c r="J11" s="13"/>
      <c r="K11" s="13"/>
      <c r="L11" s="12"/>
    </row>
    <row r="12" customFormat="false" ht="15" hidden="false" customHeight="false" outlineLevel="0" collapsed="false">
      <c r="A12" s="12" t="s">
        <v>52</v>
      </c>
      <c r="B12" s="13"/>
      <c r="C12" s="13"/>
      <c r="D12" s="13"/>
      <c r="E12" s="13"/>
      <c r="F12" s="13"/>
      <c r="G12" s="13"/>
      <c r="H12" s="13"/>
      <c r="I12" s="13"/>
      <c r="J12" s="13"/>
      <c r="K12" s="13"/>
      <c r="L12" s="12"/>
    </row>
    <row r="13" customFormat="false" ht="15" hidden="false" customHeight="false" outlineLevel="0" collapsed="false">
      <c r="A13" s="12" t="s">
        <v>58</v>
      </c>
      <c r="B13" s="13"/>
      <c r="C13" s="13"/>
      <c r="D13" s="13"/>
      <c r="E13" s="13"/>
      <c r="F13" s="13"/>
      <c r="G13" s="13"/>
      <c r="H13" s="13"/>
      <c r="I13" s="13"/>
      <c r="J13" s="13"/>
      <c r="K13" s="13"/>
      <c r="L13" s="12"/>
    </row>
    <row r="14" customFormat="false" ht="15" hidden="false" customHeight="false" outlineLevel="0" collapsed="false">
      <c r="A14" s="12" t="s">
        <v>59</v>
      </c>
      <c r="B14" s="13"/>
      <c r="C14" s="13"/>
      <c r="D14" s="13"/>
      <c r="E14" s="13"/>
      <c r="F14" s="13"/>
      <c r="G14" s="13"/>
      <c r="H14" s="13"/>
      <c r="I14" s="13"/>
      <c r="J14" s="13"/>
      <c r="K14" s="13"/>
      <c r="L14" s="12"/>
    </row>
    <row r="15" customFormat="false" ht="15" hidden="false" customHeight="false" outlineLevel="0" collapsed="false">
      <c r="A15" s="12" t="s">
        <v>60</v>
      </c>
      <c r="B15" s="13"/>
      <c r="C15" s="13"/>
      <c r="D15" s="13"/>
      <c r="E15" s="13"/>
      <c r="F15" s="13"/>
      <c r="G15" s="13"/>
      <c r="H15" s="13"/>
      <c r="I15" s="13"/>
      <c r="J15" s="13"/>
      <c r="K15" s="13"/>
      <c r="L15" s="12"/>
    </row>
    <row r="16" customFormat="false" ht="15" hidden="false" customHeight="false" outlineLevel="0" collapsed="false">
      <c r="A16" s="12" t="s">
        <v>61</v>
      </c>
      <c r="B16" s="13"/>
      <c r="C16" s="13"/>
      <c r="D16" s="13"/>
      <c r="E16" s="13"/>
      <c r="F16" s="13"/>
      <c r="G16" s="13"/>
      <c r="H16" s="13"/>
      <c r="I16" s="13"/>
      <c r="J16" s="13"/>
      <c r="K16" s="13"/>
      <c r="L16" s="12"/>
    </row>
    <row r="17" customFormat="false" ht="15" hidden="false" customHeight="false" outlineLevel="0" collapsed="false">
      <c r="A17" s="12" t="s">
        <v>62</v>
      </c>
      <c r="B17" s="13"/>
      <c r="C17" s="13"/>
      <c r="D17" s="13"/>
      <c r="E17" s="13"/>
      <c r="F17" s="13"/>
      <c r="G17" s="13"/>
      <c r="H17" s="13"/>
      <c r="I17" s="13"/>
      <c r="J17" s="13"/>
      <c r="K17" s="13"/>
      <c r="L17" s="12"/>
    </row>
    <row r="18" customFormat="false" ht="15" hidden="false" customHeight="false" outlineLevel="0" collapsed="false">
      <c r="A18" s="12" t="s">
        <v>63</v>
      </c>
      <c r="B18" s="13"/>
      <c r="C18" s="13"/>
      <c r="D18" s="13"/>
      <c r="E18" s="13"/>
      <c r="F18" s="13"/>
      <c r="G18" s="13"/>
      <c r="H18" s="13"/>
      <c r="I18" s="13"/>
      <c r="J18" s="13"/>
      <c r="K18" s="13"/>
      <c r="L18" s="12"/>
    </row>
    <row r="19" customFormat="false" ht="15" hidden="false" customHeight="false" outlineLevel="0" collapsed="false">
      <c r="A19" s="14" t="s">
        <v>64</v>
      </c>
      <c r="B19" s="15" t="n">
        <f aca="false">SUM(B7:B18)</f>
        <v>0</v>
      </c>
      <c r="C19" s="15" t="n">
        <f aca="false">SUM(C7:C18)</f>
        <v>0</v>
      </c>
      <c r="D19" s="15" t="n">
        <f aca="false">SUM(D7:D18)</f>
        <v>0</v>
      </c>
      <c r="E19" s="15" t="n">
        <f aca="false">SUM(E7:E18)</f>
        <v>0</v>
      </c>
      <c r="F19" s="15" t="n">
        <f aca="false">SUM(F7:F18)</f>
        <v>0</v>
      </c>
      <c r="G19" s="15" t="n">
        <f aca="false">SUM(G7:G18)</f>
        <v>0</v>
      </c>
      <c r="H19" s="15" t="n">
        <f aca="false">SUM(H7:H18)</f>
        <v>0</v>
      </c>
      <c r="I19" s="15" t="n">
        <f aca="false">SUM(I7:I18)</f>
        <v>0</v>
      </c>
      <c r="J19" s="15" t="n">
        <f aca="false">SUM(J7:J18)</f>
        <v>0</v>
      </c>
      <c r="K19" s="15" t="n">
        <f aca="false">SUM(K7:K18)</f>
        <v>0</v>
      </c>
      <c r="L19" s="16"/>
    </row>
    <row r="21" customFormat="false" ht="15" hidden="false" customHeight="false" outlineLevel="0" collapsed="false">
      <c r="A21" s="17" t="s">
        <v>65</v>
      </c>
    </row>
    <row r="22" customFormat="false" ht="15" hidden="false" customHeight="false" outlineLevel="0" collapsed="false">
      <c r="A22" s="2" t="s">
        <v>66</v>
      </c>
    </row>
  </sheetData>
  <dataValidations count="1">
    <dataValidation allowBlank="true" errorStyle="stop" operator="between" prompt="Ghi 1 nếu là số dự phóng. Để trống nếu là số thực tế." promptTitle="Dự phóng?" showDropDown="false" showErrorMessage="false" showInputMessage="false" sqref="L7:L18" type="list">
      <formula1>"1"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4"/>
    <col collapsed="false" customWidth="true" hidden="false" outlineLevel="0" max="4" min="3" style="0" width="20"/>
    <col collapsed="false" customWidth="true" hidden="false" outlineLevel="0" max="5" min="5" style="0" width="24"/>
  </cols>
  <sheetData>
    <row r="1" customFormat="false" ht="17.35" hidden="false" customHeight="false" outlineLevel="0" collapsed="false">
      <c r="A1" s="1" t="s">
        <v>67</v>
      </c>
    </row>
    <row r="2" customFormat="false" ht="15" hidden="false" customHeight="false" outlineLevel="0" collapsed="false">
      <c r="A2" s="2" t="s">
        <v>68</v>
      </c>
    </row>
    <row r="4" customFormat="false" ht="30" hidden="false" customHeight="true" outlineLevel="0" collapsed="false">
      <c r="A4" s="8" t="s">
        <v>29</v>
      </c>
      <c r="B4" s="8" t="s">
        <v>69</v>
      </c>
      <c r="C4" s="8" t="s">
        <v>70</v>
      </c>
      <c r="D4" s="8" t="s">
        <v>71</v>
      </c>
      <c r="E4" s="8" t="s">
        <v>72</v>
      </c>
    </row>
    <row r="5" customFormat="false" ht="15" hidden="false" customHeight="false" outlineLevel="0" collapsed="false">
      <c r="A5" s="9" t="s">
        <v>40</v>
      </c>
      <c r="B5" s="9" t="s">
        <v>73</v>
      </c>
      <c r="C5" s="9" t="s">
        <v>74</v>
      </c>
      <c r="D5" s="9" t="s">
        <v>75</v>
      </c>
      <c r="E5" s="9" t="s">
        <v>76</v>
      </c>
    </row>
    <row r="6" customFormat="false" ht="15" hidden="false" customHeight="false" outlineLevel="0" collapsed="false">
      <c r="A6" s="10" t="s">
        <v>52</v>
      </c>
      <c r="B6" s="11" t="n">
        <v>9200000000</v>
      </c>
      <c r="C6" s="11" t="n">
        <v>650</v>
      </c>
      <c r="D6" s="11" t="n">
        <v>20400</v>
      </c>
      <c r="E6" s="11" t="n">
        <v>600</v>
      </c>
    </row>
    <row r="7" customFormat="false" ht="15" hidden="false" customHeight="false" outlineLevel="0" collapsed="false">
      <c r="A7" s="12" t="s">
        <v>53</v>
      </c>
      <c r="B7" s="13"/>
      <c r="C7" s="13"/>
      <c r="D7" s="13"/>
      <c r="E7" s="13"/>
    </row>
    <row r="8" customFormat="false" ht="15" hidden="false" customHeight="false" outlineLevel="0" collapsed="false">
      <c r="A8" s="12" t="s">
        <v>54</v>
      </c>
      <c r="B8" s="13"/>
      <c r="C8" s="13"/>
      <c r="D8" s="13"/>
      <c r="E8" s="13"/>
    </row>
    <row r="9" customFormat="false" ht="15" hidden="false" customHeight="false" outlineLevel="0" collapsed="false">
      <c r="A9" s="12" t="s">
        <v>55</v>
      </c>
      <c r="B9" s="13"/>
      <c r="C9" s="13"/>
      <c r="D9" s="13"/>
      <c r="E9" s="13"/>
    </row>
    <row r="10" customFormat="false" ht="15" hidden="false" customHeight="false" outlineLevel="0" collapsed="false">
      <c r="A10" s="12" t="s">
        <v>56</v>
      </c>
      <c r="B10" s="13"/>
      <c r="C10" s="13"/>
      <c r="D10" s="13"/>
      <c r="E10" s="13"/>
    </row>
    <row r="11" customFormat="false" ht="15" hidden="false" customHeight="false" outlineLevel="0" collapsed="false">
      <c r="A11" s="12" t="s">
        <v>57</v>
      </c>
      <c r="B11" s="13"/>
      <c r="C11" s="13"/>
      <c r="D11" s="13"/>
      <c r="E11" s="13"/>
    </row>
    <row r="12" customFormat="false" ht="15" hidden="false" customHeight="false" outlineLevel="0" collapsed="false">
      <c r="A12" s="12" t="s">
        <v>52</v>
      </c>
      <c r="B12" s="13"/>
      <c r="C12" s="13"/>
      <c r="D12" s="13"/>
      <c r="E12" s="13"/>
    </row>
    <row r="13" customFormat="false" ht="15" hidden="false" customHeight="false" outlineLevel="0" collapsed="false">
      <c r="A13" s="12" t="s">
        <v>58</v>
      </c>
      <c r="B13" s="13"/>
      <c r="C13" s="13"/>
      <c r="D13" s="13"/>
      <c r="E13" s="13"/>
    </row>
    <row r="14" customFormat="false" ht="15" hidden="false" customHeight="false" outlineLevel="0" collapsed="false">
      <c r="A14" s="12" t="s">
        <v>59</v>
      </c>
      <c r="B14" s="13"/>
      <c r="C14" s="13"/>
      <c r="D14" s="13"/>
      <c r="E14" s="13"/>
    </row>
    <row r="15" customFormat="false" ht="15" hidden="false" customHeight="false" outlineLevel="0" collapsed="false">
      <c r="A15" s="12" t="s">
        <v>60</v>
      </c>
      <c r="B15" s="13"/>
      <c r="C15" s="13"/>
      <c r="D15" s="13"/>
      <c r="E15" s="13"/>
    </row>
    <row r="16" customFormat="false" ht="15" hidden="false" customHeight="false" outlineLevel="0" collapsed="false">
      <c r="A16" s="12" t="s">
        <v>61</v>
      </c>
      <c r="B16" s="13"/>
      <c r="C16" s="13"/>
      <c r="D16" s="13"/>
      <c r="E16" s="13"/>
    </row>
    <row r="17" customFormat="false" ht="15" hidden="false" customHeight="false" outlineLevel="0" collapsed="false">
      <c r="A17" s="12" t="s">
        <v>62</v>
      </c>
      <c r="B17" s="13"/>
      <c r="C17" s="13"/>
      <c r="D17" s="13"/>
      <c r="E17" s="13"/>
    </row>
    <row r="18" customFormat="false" ht="15" hidden="false" customHeight="false" outlineLevel="0" collapsed="false">
      <c r="A18" s="12" t="s">
        <v>63</v>
      </c>
      <c r="B18" s="13"/>
      <c r="C18" s="13"/>
      <c r="D18" s="13"/>
      <c r="E18" s="13"/>
    </row>
    <row r="19" customFormat="false" ht="15" hidden="false" customHeight="false" outlineLevel="0" collapsed="false">
      <c r="A19" s="14" t="s">
        <v>64</v>
      </c>
      <c r="B19" s="15" t="n">
        <f aca="false">SUM(B7:B18)</f>
        <v>0</v>
      </c>
      <c r="C19" s="15" t="n">
        <f aca="false">SUM(C7:C18)</f>
        <v>0</v>
      </c>
      <c r="D19" s="15" t="n">
        <f aca="false">SUM(D7:D18)</f>
        <v>0</v>
      </c>
      <c r="E19" s="15" t="n">
        <f aca="false">SUM(E7:E18)</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4" min="3" style="0" width="15"/>
    <col collapsed="false" customWidth="true" hidden="false" outlineLevel="0" max="5" min="5" style="0" width="11"/>
    <col collapsed="false" customWidth="true" hidden="false" outlineLevel="0" max="6" min="6" style="0" width="14"/>
    <col collapsed="false" customWidth="true" hidden="false" outlineLevel="0" max="7" min="7" style="0" width="16"/>
    <col collapsed="false" customWidth="true" hidden="false" outlineLevel="0" max="8" min="8" style="0" width="15"/>
    <col collapsed="false" customWidth="true" hidden="false" outlineLevel="0" max="9" min="9" style="0" width="16"/>
    <col collapsed="false" customWidth="true" hidden="false" outlineLevel="0" max="10" min="10" style="0" width="20"/>
  </cols>
  <sheetData>
    <row r="1" customFormat="false" ht="17.35" hidden="false" customHeight="false" outlineLevel="0" collapsed="false">
      <c r="A1" s="1" t="s">
        <v>77</v>
      </c>
    </row>
    <row r="2" customFormat="false" ht="15" hidden="false" customHeight="false" outlineLevel="0" collapsed="false">
      <c r="A2" s="2" t="s">
        <v>78</v>
      </c>
    </row>
    <row r="4" customFormat="false" ht="30" hidden="false" customHeight="true" outlineLevel="0" collapsed="false">
      <c r="A4" s="8" t="s">
        <v>79</v>
      </c>
      <c r="B4" s="8" t="s">
        <v>80</v>
      </c>
      <c r="C4" s="8" t="s">
        <v>81</v>
      </c>
      <c r="D4" s="8" t="s">
        <v>82</v>
      </c>
      <c r="E4" s="8" t="s">
        <v>83</v>
      </c>
      <c r="F4" s="8" t="s">
        <v>19</v>
      </c>
      <c r="G4" s="8" t="s">
        <v>84</v>
      </c>
      <c r="H4" s="8" t="s">
        <v>85</v>
      </c>
      <c r="I4" s="8" t="s">
        <v>86</v>
      </c>
      <c r="J4" s="8" t="s">
        <v>87</v>
      </c>
    </row>
    <row r="5" customFormat="false" ht="15" hidden="false" customHeight="false" outlineLevel="0" collapsed="false">
      <c r="A5" s="18" t="str">
        <f aca="false">Actual!A7</f>
        <v>2026-01</v>
      </c>
      <c r="B5" s="19" t="n">
        <f aca="false">SUM(Actual!B7:G7)</f>
        <v>0</v>
      </c>
      <c r="C5" s="20" t="n">
        <f aca="false">B5/1000000000</f>
        <v>0</v>
      </c>
      <c r="D5" s="21" t="n">
        <f aca="false">Target!B7/1000000000</f>
        <v>0</v>
      </c>
      <c r="E5" s="22" t="n">
        <f aca="false">IFERROR(B5/Target!B7,0)</f>
        <v>0</v>
      </c>
      <c r="F5" s="23" t="n">
        <f aca="false">Actual!H7</f>
        <v>0</v>
      </c>
      <c r="G5" s="22" t="n">
        <f aca="false">IFERROR(Actual!I7/Actual!H7,0)</f>
        <v>0</v>
      </c>
      <c r="H5" s="23" t="n">
        <f aca="false">Actual!J7</f>
        <v>0</v>
      </c>
      <c r="I5" s="22" t="n">
        <f aca="false">IFERROR(Actual!K7/Actual!J7,0)</f>
        <v>0</v>
      </c>
      <c r="J5" s="24" t="n">
        <f aca="false">IFERROR(B5/Actual!H7/1000000,0)</f>
        <v>0</v>
      </c>
    </row>
    <row r="6" customFormat="false" ht="15" hidden="false" customHeight="false" outlineLevel="0" collapsed="false">
      <c r="A6" s="18" t="str">
        <f aca="false">Actual!A8</f>
        <v>2026-02</v>
      </c>
      <c r="B6" s="19" t="n">
        <f aca="false">SUM(Actual!B8:G8)</f>
        <v>0</v>
      </c>
      <c r="C6" s="20" t="n">
        <f aca="false">B6/1000000000</f>
        <v>0</v>
      </c>
      <c r="D6" s="21" t="n">
        <f aca="false">Target!B8/1000000000</f>
        <v>0</v>
      </c>
      <c r="E6" s="22" t="n">
        <f aca="false">IFERROR(B6/Target!B8,0)</f>
        <v>0</v>
      </c>
      <c r="F6" s="23" t="n">
        <f aca="false">Actual!H8</f>
        <v>0</v>
      </c>
      <c r="G6" s="22" t="n">
        <f aca="false">IFERROR(Actual!I8/Actual!H8,0)</f>
        <v>0</v>
      </c>
      <c r="H6" s="23" t="n">
        <f aca="false">Actual!J8</f>
        <v>0</v>
      </c>
      <c r="I6" s="22" t="n">
        <f aca="false">IFERROR(Actual!K8/Actual!J8,0)</f>
        <v>0</v>
      </c>
      <c r="J6" s="24" t="n">
        <f aca="false">IFERROR(B6/Actual!H8/1000000,0)</f>
        <v>0</v>
      </c>
    </row>
    <row r="7" customFormat="false" ht="15" hidden="false" customHeight="false" outlineLevel="0" collapsed="false">
      <c r="A7" s="18" t="str">
        <f aca="false">Actual!A9</f>
        <v>2026-03</v>
      </c>
      <c r="B7" s="19" t="n">
        <f aca="false">SUM(Actual!B9:G9)</f>
        <v>0</v>
      </c>
      <c r="C7" s="20" t="n">
        <f aca="false">B7/1000000000</f>
        <v>0</v>
      </c>
      <c r="D7" s="21" t="n">
        <f aca="false">Target!B9/1000000000</f>
        <v>0</v>
      </c>
      <c r="E7" s="22" t="n">
        <f aca="false">IFERROR(B7/Target!B9,0)</f>
        <v>0</v>
      </c>
      <c r="F7" s="23" t="n">
        <f aca="false">Actual!H9</f>
        <v>0</v>
      </c>
      <c r="G7" s="22" t="n">
        <f aca="false">IFERROR(Actual!I9/Actual!H9,0)</f>
        <v>0</v>
      </c>
      <c r="H7" s="23" t="n">
        <f aca="false">Actual!J9</f>
        <v>0</v>
      </c>
      <c r="I7" s="22" t="n">
        <f aca="false">IFERROR(Actual!K9/Actual!J9,0)</f>
        <v>0</v>
      </c>
      <c r="J7" s="24" t="n">
        <f aca="false">IFERROR(B7/Actual!H9/1000000,0)</f>
        <v>0</v>
      </c>
    </row>
    <row r="8" customFormat="false" ht="15" hidden="false" customHeight="false" outlineLevel="0" collapsed="false">
      <c r="A8" s="18" t="str">
        <f aca="false">Actual!A10</f>
        <v>2026-04</v>
      </c>
      <c r="B8" s="19" t="n">
        <f aca="false">SUM(Actual!B10:G10)</f>
        <v>0</v>
      </c>
      <c r="C8" s="20" t="n">
        <f aca="false">B8/1000000000</f>
        <v>0</v>
      </c>
      <c r="D8" s="21" t="n">
        <f aca="false">Target!B10/1000000000</f>
        <v>0</v>
      </c>
      <c r="E8" s="22" t="n">
        <f aca="false">IFERROR(B8/Target!B10,0)</f>
        <v>0</v>
      </c>
      <c r="F8" s="23" t="n">
        <f aca="false">Actual!H10</f>
        <v>0</v>
      </c>
      <c r="G8" s="22" t="n">
        <f aca="false">IFERROR(Actual!I10/Actual!H10,0)</f>
        <v>0</v>
      </c>
      <c r="H8" s="23" t="n">
        <f aca="false">Actual!J10</f>
        <v>0</v>
      </c>
      <c r="I8" s="22" t="n">
        <f aca="false">IFERROR(Actual!K10/Actual!J10,0)</f>
        <v>0</v>
      </c>
      <c r="J8" s="24" t="n">
        <f aca="false">IFERROR(B8/Actual!H10/1000000,0)</f>
        <v>0</v>
      </c>
    </row>
    <row r="9" customFormat="false" ht="15" hidden="false" customHeight="false" outlineLevel="0" collapsed="false">
      <c r="A9" s="18" t="str">
        <f aca="false">Actual!A11</f>
        <v>2026-05</v>
      </c>
      <c r="B9" s="19" t="n">
        <f aca="false">SUM(Actual!B11:G11)</f>
        <v>0</v>
      </c>
      <c r="C9" s="20" t="n">
        <f aca="false">B9/1000000000</f>
        <v>0</v>
      </c>
      <c r="D9" s="21" t="n">
        <f aca="false">Target!B11/1000000000</f>
        <v>0</v>
      </c>
      <c r="E9" s="22" t="n">
        <f aca="false">IFERROR(B9/Target!B11,0)</f>
        <v>0</v>
      </c>
      <c r="F9" s="23" t="n">
        <f aca="false">Actual!H11</f>
        <v>0</v>
      </c>
      <c r="G9" s="22" t="n">
        <f aca="false">IFERROR(Actual!I11/Actual!H11,0)</f>
        <v>0</v>
      </c>
      <c r="H9" s="23" t="n">
        <f aca="false">Actual!J11</f>
        <v>0</v>
      </c>
      <c r="I9" s="22" t="n">
        <f aca="false">IFERROR(Actual!K11/Actual!J11,0)</f>
        <v>0</v>
      </c>
      <c r="J9" s="24" t="n">
        <f aca="false">IFERROR(B9/Actual!H11/1000000,0)</f>
        <v>0</v>
      </c>
    </row>
    <row r="10" customFormat="false" ht="15" hidden="false" customHeight="false" outlineLevel="0" collapsed="false">
      <c r="A10" s="18" t="str">
        <f aca="false">Actual!A12</f>
        <v>2026-06</v>
      </c>
      <c r="B10" s="19" t="n">
        <f aca="false">SUM(Actual!B12:G12)</f>
        <v>0</v>
      </c>
      <c r="C10" s="20" t="n">
        <f aca="false">B10/1000000000</f>
        <v>0</v>
      </c>
      <c r="D10" s="21" t="n">
        <f aca="false">Target!B12/1000000000</f>
        <v>0</v>
      </c>
      <c r="E10" s="22" t="n">
        <f aca="false">IFERROR(B10/Target!B12,0)</f>
        <v>0</v>
      </c>
      <c r="F10" s="23" t="n">
        <f aca="false">Actual!H12</f>
        <v>0</v>
      </c>
      <c r="G10" s="22" t="n">
        <f aca="false">IFERROR(Actual!I12/Actual!H12,0)</f>
        <v>0</v>
      </c>
      <c r="H10" s="23" t="n">
        <f aca="false">Actual!J12</f>
        <v>0</v>
      </c>
      <c r="I10" s="22" t="n">
        <f aca="false">IFERROR(Actual!K12/Actual!J12,0)</f>
        <v>0</v>
      </c>
      <c r="J10" s="24" t="n">
        <f aca="false">IFERROR(B10/Actual!H12/1000000,0)</f>
        <v>0</v>
      </c>
    </row>
    <row r="11" customFormat="false" ht="15" hidden="false" customHeight="false" outlineLevel="0" collapsed="false">
      <c r="A11" s="18" t="str">
        <f aca="false">Actual!A13</f>
        <v>2026-07</v>
      </c>
      <c r="B11" s="19" t="n">
        <f aca="false">SUM(Actual!B13:G13)</f>
        <v>0</v>
      </c>
      <c r="C11" s="20" t="n">
        <f aca="false">B11/1000000000</f>
        <v>0</v>
      </c>
      <c r="D11" s="21" t="n">
        <f aca="false">Target!B13/1000000000</f>
        <v>0</v>
      </c>
      <c r="E11" s="22" t="n">
        <f aca="false">IFERROR(B11/Target!B13,0)</f>
        <v>0</v>
      </c>
      <c r="F11" s="23" t="n">
        <f aca="false">Actual!H13</f>
        <v>0</v>
      </c>
      <c r="G11" s="22" t="n">
        <f aca="false">IFERROR(Actual!I13/Actual!H13,0)</f>
        <v>0</v>
      </c>
      <c r="H11" s="23" t="n">
        <f aca="false">Actual!J13</f>
        <v>0</v>
      </c>
      <c r="I11" s="22" t="n">
        <f aca="false">IFERROR(Actual!K13/Actual!J13,0)</f>
        <v>0</v>
      </c>
      <c r="J11" s="24" t="n">
        <f aca="false">IFERROR(B11/Actual!H13/1000000,0)</f>
        <v>0</v>
      </c>
    </row>
    <row r="12" customFormat="false" ht="15" hidden="false" customHeight="false" outlineLevel="0" collapsed="false">
      <c r="A12" s="18" t="str">
        <f aca="false">Actual!A14</f>
        <v>2026-08</v>
      </c>
      <c r="B12" s="19" t="n">
        <f aca="false">SUM(Actual!B14:G14)</f>
        <v>0</v>
      </c>
      <c r="C12" s="20" t="n">
        <f aca="false">B12/1000000000</f>
        <v>0</v>
      </c>
      <c r="D12" s="21" t="n">
        <f aca="false">Target!B14/1000000000</f>
        <v>0</v>
      </c>
      <c r="E12" s="22" t="n">
        <f aca="false">IFERROR(B12/Target!B14,0)</f>
        <v>0</v>
      </c>
      <c r="F12" s="23" t="n">
        <f aca="false">Actual!H14</f>
        <v>0</v>
      </c>
      <c r="G12" s="22" t="n">
        <f aca="false">IFERROR(Actual!I14/Actual!H14,0)</f>
        <v>0</v>
      </c>
      <c r="H12" s="23" t="n">
        <f aca="false">Actual!J14</f>
        <v>0</v>
      </c>
      <c r="I12" s="22" t="n">
        <f aca="false">IFERROR(Actual!K14/Actual!J14,0)</f>
        <v>0</v>
      </c>
      <c r="J12" s="24" t="n">
        <f aca="false">IFERROR(B12/Actual!H14/1000000,0)</f>
        <v>0</v>
      </c>
    </row>
    <row r="13" customFormat="false" ht="15" hidden="false" customHeight="false" outlineLevel="0" collapsed="false">
      <c r="A13" s="18" t="str">
        <f aca="false">Actual!A15</f>
        <v>2026-09</v>
      </c>
      <c r="B13" s="19" t="n">
        <f aca="false">SUM(Actual!B15:G15)</f>
        <v>0</v>
      </c>
      <c r="C13" s="20" t="n">
        <f aca="false">B13/1000000000</f>
        <v>0</v>
      </c>
      <c r="D13" s="21" t="n">
        <f aca="false">Target!B15/1000000000</f>
        <v>0</v>
      </c>
      <c r="E13" s="22" t="n">
        <f aca="false">IFERROR(B13/Target!B15,0)</f>
        <v>0</v>
      </c>
      <c r="F13" s="23" t="n">
        <f aca="false">Actual!H15</f>
        <v>0</v>
      </c>
      <c r="G13" s="22" t="n">
        <f aca="false">IFERROR(Actual!I15/Actual!H15,0)</f>
        <v>0</v>
      </c>
      <c r="H13" s="23" t="n">
        <f aca="false">Actual!J15</f>
        <v>0</v>
      </c>
      <c r="I13" s="22" t="n">
        <f aca="false">IFERROR(Actual!K15/Actual!J15,0)</f>
        <v>0</v>
      </c>
      <c r="J13" s="24" t="n">
        <f aca="false">IFERROR(B13/Actual!H15/1000000,0)</f>
        <v>0</v>
      </c>
    </row>
    <row r="14" customFormat="false" ht="15" hidden="false" customHeight="false" outlineLevel="0" collapsed="false">
      <c r="A14" s="18" t="str">
        <f aca="false">Actual!A16</f>
        <v>2026-10</v>
      </c>
      <c r="B14" s="19" t="n">
        <f aca="false">SUM(Actual!B16:G16)</f>
        <v>0</v>
      </c>
      <c r="C14" s="20" t="n">
        <f aca="false">B14/1000000000</f>
        <v>0</v>
      </c>
      <c r="D14" s="21" t="n">
        <f aca="false">Target!B16/1000000000</f>
        <v>0</v>
      </c>
      <c r="E14" s="22" t="n">
        <f aca="false">IFERROR(B14/Target!B16,0)</f>
        <v>0</v>
      </c>
      <c r="F14" s="23" t="n">
        <f aca="false">Actual!H16</f>
        <v>0</v>
      </c>
      <c r="G14" s="22" t="n">
        <f aca="false">IFERROR(Actual!I16/Actual!H16,0)</f>
        <v>0</v>
      </c>
      <c r="H14" s="23" t="n">
        <f aca="false">Actual!J16</f>
        <v>0</v>
      </c>
      <c r="I14" s="22" t="n">
        <f aca="false">IFERROR(Actual!K16/Actual!J16,0)</f>
        <v>0</v>
      </c>
      <c r="J14" s="24" t="n">
        <f aca="false">IFERROR(B14/Actual!H16/1000000,0)</f>
        <v>0</v>
      </c>
    </row>
    <row r="15" customFormat="false" ht="15" hidden="false" customHeight="false" outlineLevel="0" collapsed="false">
      <c r="A15" s="18" t="str">
        <f aca="false">Actual!A17</f>
        <v>2026-11</v>
      </c>
      <c r="B15" s="19" t="n">
        <f aca="false">SUM(Actual!B17:G17)</f>
        <v>0</v>
      </c>
      <c r="C15" s="20" t="n">
        <f aca="false">B15/1000000000</f>
        <v>0</v>
      </c>
      <c r="D15" s="21" t="n">
        <f aca="false">Target!B17/1000000000</f>
        <v>0</v>
      </c>
      <c r="E15" s="22" t="n">
        <f aca="false">IFERROR(B15/Target!B17,0)</f>
        <v>0</v>
      </c>
      <c r="F15" s="23" t="n">
        <f aca="false">Actual!H17</f>
        <v>0</v>
      </c>
      <c r="G15" s="22" t="n">
        <f aca="false">IFERROR(Actual!I17/Actual!H17,0)</f>
        <v>0</v>
      </c>
      <c r="H15" s="23" t="n">
        <f aca="false">Actual!J17</f>
        <v>0</v>
      </c>
      <c r="I15" s="22" t="n">
        <f aca="false">IFERROR(Actual!K17/Actual!J17,0)</f>
        <v>0</v>
      </c>
      <c r="J15" s="24" t="n">
        <f aca="false">IFERROR(B15/Actual!H17/1000000,0)</f>
        <v>0</v>
      </c>
    </row>
    <row r="16" customFormat="false" ht="15" hidden="false" customHeight="false" outlineLevel="0" collapsed="false">
      <c r="A16" s="18" t="str">
        <f aca="false">Actual!A18</f>
        <v>2026-12</v>
      </c>
      <c r="B16" s="19" t="n">
        <f aca="false">SUM(Actual!B18:G18)</f>
        <v>0</v>
      </c>
      <c r="C16" s="20" t="n">
        <f aca="false">B16/1000000000</f>
        <v>0</v>
      </c>
      <c r="D16" s="21" t="n">
        <f aca="false">Target!B18/1000000000</f>
        <v>0</v>
      </c>
      <c r="E16" s="22" t="n">
        <f aca="false">IFERROR(B16/Target!B18,0)</f>
        <v>0</v>
      </c>
      <c r="F16" s="23" t="n">
        <f aca="false">Actual!H18</f>
        <v>0</v>
      </c>
      <c r="G16" s="22" t="n">
        <f aca="false">IFERROR(Actual!I18/Actual!H18,0)</f>
        <v>0</v>
      </c>
      <c r="H16" s="23" t="n">
        <f aca="false">Actual!J18</f>
        <v>0</v>
      </c>
      <c r="I16" s="22" t="n">
        <f aca="false">IFERROR(Actual!K18/Actual!J18,0)</f>
        <v>0</v>
      </c>
      <c r="J16" s="24" t="n">
        <f aca="false">IFERROR(B16/Actual!H18/1000000,0)</f>
        <v>0</v>
      </c>
    </row>
    <row r="17" customFormat="false" ht="15" hidden="false" customHeight="false" outlineLevel="0" collapsed="false">
      <c r="A17" s="14" t="s">
        <v>64</v>
      </c>
      <c r="B17" s="15" t="n">
        <f aca="false">SUM(B5:B16)</f>
        <v>0</v>
      </c>
      <c r="C17" s="25" t="n">
        <f aca="false">SUM(C5:C16)</f>
        <v>0</v>
      </c>
      <c r="D17" s="25" t="n">
        <f aca="false">SUM(D5:D16)</f>
        <v>0</v>
      </c>
      <c r="E17" s="26" t="n">
        <f aca="false">IFERROR(C17/D17,0)</f>
        <v>0</v>
      </c>
    </row>
    <row r="19" customFormat="false" ht="15" hidden="false" customHeight="false" outlineLevel="0" collapsed="false">
      <c r="A19" s="2" t="s">
        <v>88</v>
      </c>
    </row>
    <row r="20" customFormat="false" ht="15" hidden="false" customHeight="false" outlineLevel="0" collapsed="false">
      <c r="A20" s="2" t="s">
        <v>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2026-08-17T05:32:31Z</dcterms:created>
  <dc:creator>openpyxl</dc:creator>
  <dc:description/>
  <dc:language>en-US</dc:language>
  <cp:lastModifiedBy/>
  <dcterms:modified xsi:type="dcterms:W3CDTF">2026-08-17T05:32:31Z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